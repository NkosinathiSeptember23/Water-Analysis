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asiphe_tyolo_standardbank_co_za/Documents/Documents/Mindworx/"/>
    </mc:Choice>
  </mc:AlternateContent>
  <xr:revisionPtr revIDLastSave="0" documentId="8_{33F1FAC8-136B-4857-BEB5-E244E06CEFC8}" xr6:coauthVersionLast="47" xr6:coauthVersionMax="47" xr10:uidLastSave="{00000000-0000-0000-0000-000000000000}"/>
  <bookViews>
    <workbookView xWindow="-110" yWindow="-110" windowWidth="19420" windowHeight="10300" activeTab="1" xr2:uid="{044A1601-D766-483C-91E2-FC0F0AD8F8F3}"/>
  </bookViews>
  <sheets>
    <sheet name="Sheet1" sheetId="2" r:id="rId1"/>
    <sheet name="Water_Consumption_CPT_2020_2022" sheetId="1" r:id="rId2"/>
  </sheets>
  <calcPr calcId="0"/>
  <pivotCaches>
    <pivotCache cacheId="5" r:id="rId3"/>
  </pivotCaches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<sst xmlns="http://schemas.openxmlformats.org/spreadsheetml/2006/main" count="223" uniqueCount="117">
  <si>
    <t>Suburb</t>
  </si>
  <si>
    <t>Month</t>
  </si>
  <si>
    <t>Water Consumption (L)</t>
  </si>
  <si>
    <t>Bellvile</t>
  </si>
  <si>
    <t>7911.0</t>
  </si>
  <si>
    <t>SeaPint</t>
  </si>
  <si>
    <t>6734.0</t>
  </si>
  <si>
    <t>Pinelands</t>
  </si>
  <si>
    <t>Hout Bay</t>
  </si>
  <si>
    <t>13680.0</t>
  </si>
  <si>
    <t>Mowbray</t>
  </si>
  <si>
    <t>24360.0</t>
  </si>
  <si>
    <t>Wynberg</t>
  </si>
  <si>
    <t>23343.0</t>
  </si>
  <si>
    <t>Claremont</t>
  </si>
  <si>
    <t>10759.0</t>
  </si>
  <si>
    <t>28078.0</t>
  </si>
  <si>
    <t>40153.0</t>
  </si>
  <si>
    <t>16111.0</t>
  </si>
  <si>
    <t>Constantia</t>
  </si>
  <si>
    <t>42504.0</t>
  </si>
  <si>
    <t>6802.0</t>
  </si>
  <si>
    <t>13155.0</t>
  </si>
  <si>
    <t>13120.0</t>
  </si>
  <si>
    <t>Khayelitsha</t>
  </si>
  <si>
    <t>44384.0</t>
  </si>
  <si>
    <t>26918.0</t>
  </si>
  <si>
    <t>Camps Bay</t>
  </si>
  <si>
    <t>25445.0</t>
  </si>
  <si>
    <t>35306.0</t>
  </si>
  <si>
    <t>21646.0</t>
  </si>
  <si>
    <t>36065.0</t>
  </si>
  <si>
    <t>30199.0</t>
  </si>
  <si>
    <t>Bellville</t>
  </si>
  <si>
    <t>46976.0</t>
  </si>
  <si>
    <t>21371.0</t>
  </si>
  <si>
    <t>16835.0</t>
  </si>
  <si>
    <t>Sea Point</t>
  </si>
  <si>
    <t>7049.0</t>
  </si>
  <si>
    <t>36616.0</t>
  </si>
  <si>
    <t>43191.0</t>
  </si>
  <si>
    <t>25932.0</t>
  </si>
  <si>
    <t>12158.0</t>
  </si>
  <si>
    <t>48016.0</t>
  </si>
  <si>
    <t>12400.0</t>
  </si>
  <si>
    <t>47642.0</t>
  </si>
  <si>
    <t>20151.0</t>
  </si>
  <si>
    <t>6154.0</t>
  </si>
  <si>
    <t>9499.0</t>
  </si>
  <si>
    <t>11295.0</t>
  </si>
  <si>
    <t>17183.0</t>
  </si>
  <si>
    <t>34299.0</t>
  </si>
  <si>
    <t>10539.0</t>
  </si>
  <si>
    <t>47405.0</t>
  </si>
  <si>
    <t>7557.0</t>
  </si>
  <si>
    <t>43360.0</t>
  </si>
  <si>
    <t>21482.0</t>
  </si>
  <si>
    <t>7200.0</t>
  </si>
  <si>
    <t>7961.0</t>
  </si>
  <si>
    <t>26357.0</t>
  </si>
  <si>
    <t>16969.0</t>
  </si>
  <si>
    <t>7869.0</t>
  </si>
  <si>
    <t>33643.0</t>
  </si>
  <si>
    <t>29736.0</t>
  </si>
  <si>
    <t>43467.0</t>
  </si>
  <si>
    <t>28328.0</t>
  </si>
  <si>
    <t>30876.0</t>
  </si>
  <si>
    <t>26295.0</t>
  </si>
  <si>
    <t>8987.0</t>
  </si>
  <si>
    <t>27399.0</t>
  </si>
  <si>
    <t>38986.0</t>
  </si>
  <si>
    <t>25880.0</t>
  </si>
  <si>
    <t>9735.0</t>
  </si>
  <si>
    <t>49064.0</t>
  </si>
  <si>
    <t>9555.0</t>
  </si>
  <si>
    <t>46914.0</t>
  </si>
  <si>
    <t>45818.0</t>
  </si>
  <si>
    <t>24830.0</t>
  </si>
  <si>
    <t>22429.0</t>
  </si>
  <si>
    <t>11893.0</t>
  </si>
  <si>
    <t>19373.0</t>
  </si>
  <si>
    <t>8436.0</t>
  </si>
  <si>
    <t>13754.0</t>
  </si>
  <si>
    <t>15677.0</t>
  </si>
  <si>
    <t>10895.0</t>
  </si>
  <si>
    <t>24738.0</t>
  </si>
  <si>
    <t>35746.0</t>
  </si>
  <si>
    <t>37352.0</t>
  </si>
  <si>
    <t>44790.0</t>
  </si>
  <si>
    <t>46919.0</t>
  </si>
  <si>
    <t>10600.0</t>
  </si>
  <si>
    <t>34124.0</t>
  </si>
  <si>
    <t>45764.0</t>
  </si>
  <si>
    <t>14007.0</t>
  </si>
  <si>
    <t>42410.0</t>
  </si>
  <si>
    <t>49080.0</t>
  </si>
  <si>
    <t>45447.0</t>
  </si>
  <si>
    <t>13208.0</t>
  </si>
  <si>
    <t>23589.0</t>
  </si>
  <si>
    <t>48484.0</t>
  </si>
  <si>
    <t>22453.0</t>
  </si>
  <si>
    <t>41212.0</t>
  </si>
  <si>
    <t>48525.0</t>
  </si>
  <si>
    <t>37635.0</t>
  </si>
  <si>
    <t>38828.0</t>
  </si>
  <si>
    <t>23711.0</t>
  </si>
  <si>
    <t>8420.0</t>
  </si>
  <si>
    <t>36216.0</t>
  </si>
  <si>
    <t>5301.0</t>
  </si>
  <si>
    <t>5699.0</t>
  </si>
  <si>
    <t>Row Labels</t>
  </si>
  <si>
    <t>Grand Total</t>
  </si>
  <si>
    <t>Column Labels</t>
  </si>
  <si>
    <t>2020</t>
  </si>
  <si>
    <t>2022</t>
  </si>
  <si>
    <t>2021</t>
  </si>
  <si>
    <t>Count of Water Consumption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</si>
</sst>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7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olo, Asiphe Tyolo A" refreshedDate="46027.524068171297" createdVersion="8" refreshedVersion="8" minRefreshableVersion="3" recordCount="103" xr:uid="{8C226A96-F516-4B76-9992-43D0EDC58D5A}">
  <cacheSource type="worksheet">
    <worksheetSource ref="A1:C104" sheet="Water_Consumption_CPT_2020_2022"/>
  </cacheSource>
  <cacheFields count="6">
    <cacheField name="Suburb" numFmtId="0">
      <sharedItems count="12">
        <s v="Bellvile"/>
        <s v="SeaPint"/>
        <s v="Pinelands"/>
        <s v="Hout Bay"/>
        <s v="Mowbray"/>
        <s v="Wynberg"/>
        <s v="Claremont"/>
        <s v="Constantia"/>
        <s v="Khayelitsha"/>
        <s v="Camps Bay"/>
        <s v="Bellville"/>
        <s v="Sea Point"/>
      </sharedItems>
    </cacheField>
    <cacheField name="Month" numFmtId="17">
      <sharedItems containsSemiMixedTypes="0" containsNonDate="0" containsDate="1" containsString="0" minDate="2020-01-01T00:00:00" maxDate="2022-12-02T00:00:00" count="32">
        <d v="2020-12-01T00:00:00"/>
        <d v="2022-10-01T00:00:00"/>
        <d v="2022-09-01T00:00:00"/>
        <d v="2021-11-01T00:00:00"/>
        <d v="2021-12-01T00:00:00"/>
        <d v="2022-11-01T00:00:00"/>
        <d v="2021-10-01T00:00:00"/>
        <d v="2022-03-01T00:00:00"/>
        <d v="2020-01-01T00:00:00"/>
        <d v="2021-02-01T00:00:00"/>
        <d v="2020-03-01T00:00:00"/>
        <d v="2020-05-01T00:00:00"/>
        <d v="2022-02-01T00:00:00"/>
        <d v="2020-09-01T00:00:00"/>
        <d v="2021-03-01T00:00:00"/>
        <d v="2021-01-01T00:00:00"/>
        <d v="2022-08-01T00:00:00"/>
        <d v="2020-04-01T00:00:00"/>
        <d v="2022-06-01T00:00:00"/>
        <d v="2022-05-01T00:00:00"/>
        <d v="2022-12-01T00:00:00"/>
        <d v="2020-07-01T00:00:00"/>
        <d v="2022-04-01T00:00:00"/>
        <d v="2020-02-01T00:00:00"/>
        <d v="2020-06-01T00:00:00"/>
        <d v="2021-08-01T00:00:00"/>
        <d v="2020-11-01T00:00:00"/>
        <d v="2022-01-01T00:00:00"/>
        <d v="2020-08-01T00:00:00"/>
        <d v="2021-05-01T00:00:00"/>
        <d v="2021-07-01T00:00:00"/>
        <d v="2021-04-01T00:00:00"/>
      </sharedItems>
      <fieldGroup par="5"/>
    </cacheField>
    <cacheField name="Water Consumption (L)" numFmtId="2">
      <sharedItems containsBlank="1" count="96">
        <s v="7911.0"/>
        <s v="6734.0"/>
        <m/>
        <s v="13680.0"/>
        <s v="24360.0"/>
        <s v="23343.0"/>
        <s v="10759.0"/>
        <s v="28078.0"/>
        <s v="40153.0"/>
        <s v="16111.0"/>
        <s v="42504.0"/>
        <s v="6802.0"/>
        <s v="13155.0"/>
        <s v="13120.0"/>
        <s v="44384.0"/>
        <s v="26918.0"/>
        <s v="25445.0"/>
        <s v="35306.0"/>
        <s v="21646.0"/>
        <s v="36065.0"/>
        <s v="30199.0"/>
        <s v="46976.0"/>
        <s v="21371.0"/>
        <s v="16835.0"/>
        <s v="7049.0"/>
        <s v="36616.0"/>
        <s v="43191.0"/>
        <s v="25932.0"/>
        <s v="12158.0"/>
        <s v="48016.0"/>
        <s v="12400.0"/>
        <s v="47642.0"/>
        <s v="20151.0"/>
        <s v="6154.0"/>
        <s v="9499.0"/>
        <s v="11295.0"/>
        <s v="17183.0"/>
        <s v="34299.0"/>
        <s v="10539.0"/>
        <s v="47405.0"/>
        <s v="7557.0"/>
        <s v="43360.0"/>
        <s v="21482.0"/>
        <s v="7200.0"/>
        <s v="7961.0"/>
        <s v="26357.0"/>
        <s v="16969.0"/>
        <s v="7869.0"/>
        <s v="33643.0"/>
        <s v="29736.0"/>
        <s v="43467.0"/>
        <s v="28328.0"/>
        <s v="30876.0"/>
        <s v="26295.0"/>
        <s v="8987.0"/>
        <s v="27399.0"/>
        <s v="38986.0"/>
        <s v="25880.0"/>
        <s v="9735.0"/>
        <s v="49064.0"/>
        <s v="9555.0"/>
        <s v="46914.0"/>
        <s v="45818.0"/>
        <s v="24830.0"/>
        <s v="22429.0"/>
        <s v="11893.0"/>
        <s v="19373.0"/>
        <s v="8436.0"/>
        <s v="13754.0"/>
        <s v="15677.0"/>
        <s v="10895.0"/>
        <s v="24738.0"/>
        <s v="35746.0"/>
        <s v="37352.0"/>
        <s v="44790.0"/>
        <s v="46919.0"/>
        <s v="10600.0"/>
        <s v="34124.0"/>
        <s v="45764.0"/>
        <s v="14007.0"/>
        <s v="42410.0"/>
        <s v="49080.0"/>
        <s v="45447.0"/>
        <s v="13208.0"/>
        <s v="23589.0"/>
        <s v="48484.0"/>
        <s v="22453.0"/>
        <s v="41212.0"/>
        <s v="48525.0"/>
        <s v="37635.0"/>
        <s v="38828.0"/>
        <s v="23711.0"/>
        <s v="8420.0"/>
        <s v="36216.0"/>
        <s v="5301.0"/>
        <s v="5699.0"/>
      </sharedItems>
    </cacheField>
    <cacheField name="Months (Month)" numFmtId="0" databaseField="0">
      <fieldGroup base="1">
        <rangePr groupBy="months" startDate="2020-01-01T00:00:00" endDate="2022-12-02T00:00:00"/>
        <groupItems count="14">
          <s v="&lt;2020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2/12/02"/>
        </groupItems>
      </fieldGroup>
    </cacheField>
    <cacheField name="Quarters (Month)" numFmtId="0" databaseField="0">
      <fieldGroup base="1">
        <rangePr groupBy="quarters" startDate="2020-01-01T00:00:00" endDate="2022-12-02T00:00:00"/>
        <groupItems count="6">
          <s v="&lt;2020/01/01"/>
          <s v="Qtr1"/>
          <s v="Qtr2"/>
          <s v="Qtr3"/>
          <s v="Qtr4"/>
          <s v="&gt;2022/12/02"/>
        </groupItems>
      </fieldGroup>
    </cacheField>
    <cacheField name="Years (Month)" numFmtId="0" databaseField="0">
      <fieldGroup base="1">
        <rangePr groupBy="years" startDate="2020-01-01T00:00:00" endDate="2022-12-02T00:00:00"/>
        <groupItems count="5">
          <s v="&lt;2020/01/01"/>
          <s v="2020"/>
          <s v="2021"/>
          <s v="2022"/>
          <s v="&gt;2022/12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4"/>
    <x v="7"/>
    <x v="7"/>
  </r>
  <r>
    <x v="2"/>
    <x v="5"/>
    <x v="8"/>
  </r>
  <r>
    <x v="3"/>
    <x v="8"/>
    <x v="9"/>
  </r>
  <r>
    <x v="7"/>
    <x v="5"/>
    <x v="10"/>
  </r>
  <r>
    <x v="2"/>
    <x v="9"/>
    <x v="11"/>
  </r>
  <r>
    <x v="2"/>
    <x v="10"/>
    <x v="12"/>
  </r>
  <r>
    <x v="6"/>
    <x v="8"/>
    <x v="13"/>
  </r>
  <r>
    <x v="8"/>
    <x v="11"/>
    <x v="14"/>
  </r>
  <r>
    <x v="3"/>
    <x v="12"/>
    <x v="15"/>
  </r>
  <r>
    <x v="9"/>
    <x v="9"/>
    <x v="16"/>
  </r>
  <r>
    <x v="2"/>
    <x v="7"/>
    <x v="17"/>
  </r>
  <r>
    <x v="8"/>
    <x v="13"/>
    <x v="18"/>
  </r>
  <r>
    <x v="9"/>
    <x v="14"/>
    <x v="19"/>
  </r>
  <r>
    <x v="3"/>
    <x v="14"/>
    <x v="20"/>
  </r>
  <r>
    <x v="10"/>
    <x v="12"/>
    <x v="21"/>
  </r>
  <r>
    <x v="5"/>
    <x v="15"/>
    <x v="22"/>
  </r>
  <r>
    <x v="8"/>
    <x v="16"/>
    <x v="23"/>
  </r>
  <r>
    <x v="11"/>
    <x v="16"/>
    <x v="24"/>
  </r>
  <r>
    <x v="10"/>
    <x v="17"/>
    <x v="25"/>
  </r>
  <r>
    <x v="5"/>
    <x v="18"/>
    <x v="26"/>
  </r>
  <r>
    <x v="6"/>
    <x v="3"/>
    <x v="27"/>
  </r>
  <r>
    <x v="4"/>
    <x v="14"/>
    <x v="2"/>
  </r>
  <r>
    <x v="7"/>
    <x v="19"/>
    <x v="28"/>
  </r>
  <r>
    <x v="11"/>
    <x v="20"/>
    <x v="29"/>
  </r>
  <r>
    <x v="6"/>
    <x v="15"/>
    <x v="30"/>
  </r>
  <r>
    <x v="3"/>
    <x v="16"/>
    <x v="31"/>
  </r>
  <r>
    <x v="6"/>
    <x v="21"/>
    <x v="32"/>
  </r>
  <r>
    <x v="4"/>
    <x v="6"/>
    <x v="33"/>
  </r>
  <r>
    <x v="3"/>
    <x v="22"/>
    <x v="34"/>
  </r>
  <r>
    <x v="11"/>
    <x v="23"/>
    <x v="35"/>
  </r>
  <r>
    <x v="4"/>
    <x v="24"/>
    <x v="36"/>
  </r>
  <r>
    <x v="9"/>
    <x v="22"/>
    <x v="37"/>
  </r>
  <r>
    <x v="7"/>
    <x v="22"/>
    <x v="2"/>
  </r>
  <r>
    <x v="11"/>
    <x v="25"/>
    <x v="2"/>
  </r>
  <r>
    <x v="9"/>
    <x v="18"/>
    <x v="38"/>
  </r>
  <r>
    <x v="5"/>
    <x v="26"/>
    <x v="39"/>
  </r>
  <r>
    <x v="11"/>
    <x v="22"/>
    <x v="40"/>
  </r>
  <r>
    <x v="5"/>
    <x v="27"/>
    <x v="41"/>
  </r>
  <r>
    <x v="3"/>
    <x v="2"/>
    <x v="42"/>
  </r>
  <r>
    <x v="9"/>
    <x v="8"/>
    <x v="43"/>
  </r>
  <r>
    <x v="7"/>
    <x v="7"/>
    <x v="44"/>
  </r>
  <r>
    <x v="4"/>
    <x v="15"/>
    <x v="45"/>
  </r>
  <r>
    <x v="2"/>
    <x v="10"/>
    <x v="46"/>
  </r>
  <r>
    <x v="6"/>
    <x v="24"/>
    <x v="47"/>
  </r>
  <r>
    <x v="10"/>
    <x v="28"/>
    <x v="48"/>
  </r>
  <r>
    <x v="7"/>
    <x v="7"/>
    <x v="49"/>
  </r>
  <r>
    <x v="9"/>
    <x v="13"/>
    <x v="50"/>
  </r>
  <r>
    <x v="2"/>
    <x v="2"/>
    <x v="51"/>
  </r>
  <r>
    <x v="7"/>
    <x v="4"/>
    <x v="52"/>
  </r>
  <r>
    <x v="9"/>
    <x v="14"/>
    <x v="53"/>
  </r>
  <r>
    <x v="8"/>
    <x v="16"/>
    <x v="54"/>
  </r>
  <r>
    <x v="8"/>
    <x v="16"/>
    <x v="55"/>
  </r>
  <r>
    <x v="5"/>
    <x v="4"/>
    <x v="56"/>
  </r>
  <r>
    <x v="7"/>
    <x v="0"/>
    <x v="57"/>
  </r>
  <r>
    <x v="8"/>
    <x v="23"/>
    <x v="58"/>
  </r>
  <r>
    <x v="9"/>
    <x v="10"/>
    <x v="59"/>
  </r>
  <r>
    <x v="5"/>
    <x v="29"/>
    <x v="60"/>
  </r>
  <r>
    <x v="9"/>
    <x v="23"/>
    <x v="61"/>
  </r>
  <r>
    <x v="5"/>
    <x v="23"/>
    <x v="62"/>
  </r>
  <r>
    <x v="7"/>
    <x v="22"/>
    <x v="63"/>
  </r>
  <r>
    <x v="2"/>
    <x v="3"/>
    <x v="64"/>
  </r>
  <r>
    <x v="4"/>
    <x v="16"/>
    <x v="65"/>
  </r>
  <r>
    <x v="11"/>
    <x v="2"/>
    <x v="66"/>
  </r>
  <r>
    <x v="2"/>
    <x v="8"/>
    <x v="67"/>
  </r>
  <r>
    <x v="3"/>
    <x v="30"/>
    <x v="68"/>
  </r>
  <r>
    <x v="9"/>
    <x v="23"/>
    <x v="69"/>
  </r>
  <r>
    <x v="3"/>
    <x v="12"/>
    <x v="70"/>
  </r>
  <r>
    <x v="2"/>
    <x v="16"/>
    <x v="71"/>
  </r>
  <r>
    <x v="5"/>
    <x v="24"/>
    <x v="72"/>
  </r>
  <r>
    <x v="11"/>
    <x v="16"/>
    <x v="73"/>
  </r>
  <r>
    <x v="11"/>
    <x v="17"/>
    <x v="74"/>
  </r>
  <r>
    <x v="10"/>
    <x v="26"/>
    <x v="75"/>
  </r>
  <r>
    <x v="11"/>
    <x v="29"/>
    <x v="76"/>
  </r>
  <r>
    <x v="4"/>
    <x v="4"/>
    <x v="77"/>
  </r>
  <r>
    <x v="11"/>
    <x v="11"/>
    <x v="2"/>
  </r>
  <r>
    <x v="2"/>
    <x v="1"/>
    <x v="78"/>
  </r>
  <r>
    <x v="10"/>
    <x v="24"/>
    <x v="79"/>
  </r>
  <r>
    <x v="2"/>
    <x v="6"/>
    <x v="80"/>
  </r>
  <r>
    <x v="2"/>
    <x v="26"/>
    <x v="81"/>
  </r>
  <r>
    <x v="6"/>
    <x v="31"/>
    <x v="82"/>
  </r>
  <r>
    <x v="10"/>
    <x v="2"/>
    <x v="83"/>
  </r>
  <r>
    <x v="2"/>
    <x v="13"/>
    <x v="84"/>
  </r>
  <r>
    <x v="6"/>
    <x v="24"/>
    <x v="85"/>
  </r>
  <r>
    <x v="6"/>
    <x v="31"/>
    <x v="86"/>
  </r>
  <r>
    <x v="10"/>
    <x v="19"/>
    <x v="87"/>
  </r>
  <r>
    <x v="3"/>
    <x v="10"/>
    <x v="88"/>
  </r>
  <r>
    <x v="5"/>
    <x v="25"/>
    <x v="89"/>
  </r>
  <r>
    <x v="4"/>
    <x v="20"/>
    <x v="90"/>
  </r>
  <r>
    <x v="5"/>
    <x v="30"/>
    <x v="91"/>
  </r>
  <r>
    <x v="11"/>
    <x v="12"/>
    <x v="92"/>
  </r>
  <r>
    <x v="4"/>
    <x v="10"/>
    <x v="93"/>
  </r>
  <r>
    <x v="11"/>
    <x v="30"/>
    <x v="94"/>
  </r>
  <r>
    <x v="2"/>
    <x v="25"/>
    <x v="95"/>
  </r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B24FE-13F9-472E-AB1C-37BFD4CE08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1" firstDataRow="5" firstDataCol="1"/>
  <pivotFields count="6">
    <pivotField axis="axisRow" showAll="0">
      <items count="13">
        <item x="0"/>
        <item x="10"/>
        <item x="9"/>
        <item x="6"/>
        <item x="7"/>
        <item x="3"/>
        <item x="8"/>
        <item x="4"/>
        <item x="2"/>
        <item x="11"/>
        <item x="1"/>
        <item x="5"/>
        <item t="default"/>
      </items>
    </pivotField>
    <pivotField axis="axisCol" numFmtId="17" showAll="0">
      <items count="33">
        <item x="8"/>
        <item x="23"/>
        <item x="10"/>
        <item x="17"/>
        <item x="11"/>
        <item x="24"/>
        <item x="21"/>
        <item x="28"/>
        <item x="13"/>
        <item x="26"/>
        <item x="0"/>
        <item x="15"/>
        <item x="9"/>
        <item x="14"/>
        <item x="31"/>
        <item x="29"/>
        <item x="30"/>
        <item x="25"/>
        <item x="6"/>
        <item x="3"/>
        <item x="4"/>
        <item x="27"/>
        <item x="12"/>
        <item x="7"/>
        <item x="22"/>
        <item x="19"/>
        <item x="18"/>
        <item x="16"/>
        <item x="2"/>
        <item x="1"/>
        <item x="5"/>
        <item x="20"/>
        <item t="default"/>
      </items>
    </pivotField>
    <pivotField dataField="1" showAll="0">
      <items count="97">
        <item x="38"/>
        <item x="76"/>
        <item x="6"/>
        <item x="70"/>
        <item x="35"/>
        <item x="65"/>
        <item x="28"/>
        <item x="30"/>
        <item x="13"/>
        <item x="12"/>
        <item x="83"/>
        <item x="3"/>
        <item x="68"/>
        <item x="79"/>
        <item x="69"/>
        <item x="9"/>
        <item x="23"/>
        <item x="46"/>
        <item x="36"/>
        <item x="66"/>
        <item x="32"/>
        <item x="22"/>
        <item x="42"/>
        <item x="18"/>
        <item x="64"/>
        <item x="86"/>
        <item x="5"/>
        <item x="84"/>
        <item x="91"/>
        <item x="4"/>
        <item x="71"/>
        <item x="63"/>
        <item x="16"/>
        <item x="57"/>
        <item x="27"/>
        <item x="53"/>
        <item x="45"/>
        <item x="15"/>
        <item x="55"/>
        <item x="7"/>
        <item x="51"/>
        <item x="49"/>
        <item x="20"/>
        <item x="52"/>
        <item x="48"/>
        <item x="77"/>
        <item x="37"/>
        <item x="17"/>
        <item x="72"/>
        <item x="19"/>
        <item x="93"/>
        <item x="25"/>
        <item x="73"/>
        <item x="89"/>
        <item x="90"/>
        <item x="56"/>
        <item x="8"/>
        <item x="87"/>
        <item x="80"/>
        <item x="10"/>
        <item x="26"/>
        <item x="41"/>
        <item x="50"/>
        <item x="14"/>
        <item x="74"/>
        <item x="82"/>
        <item x="78"/>
        <item x="62"/>
        <item x="61"/>
        <item x="75"/>
        <item x="21"/>
        <item x="39"/>
        <item x="31"/>
        <item x="29"/>
        <item x="85"/>
        <item x="88"/>
        <item x="59"/>
        <item x="81"/>
        <item x="94"/>
        <item x="95"/>
        <item x="33"/>
        <item x="1"/>
        <item x="11"/>
        <item x="24"/>
        <item x="43"/>
        <item x="40"/>
        <item x="47"/>
        <item x="0"/>
        <item x="44"/>
        <item x="92"/>
        <item x="67"/>
        <item x="54"/>
        <item x="34"/>
        <item x="60"/>
        <item x="58"/>
        <item x="2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4">
    <field x="5"/>
    <field x="4"/>
    <field x="3"/>
    <field x="1"/>
  </colFields>
  <colItems count="4">
    <i>
      <x v="1"/>
    </i>
    <i>
      <x v="2"/>
    </i>
    <i>
      <x v="3"/>
    </i>
    <i t="grand">
      <x/>
    </i>
  </colItems>
  <dataFields count="1">
    <dataField name="Count of Water Consumption (L)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8390-13FE-4E50-9ECE-3B2BED0EE49D}">
  <dimension ref="A3:E20"/>
  <sheetViews>
    <sheetView workbookViewId="0">
      <selection activeCell="E16" sqref="E16"/>
    </sheetView>
  </sheetViews>
  <sheetFormatPr defaultRowHeight="14.5" x14ac:dyDescent="0.35"/>
  <cols>
    <col min="1" max="1" width="27.81640625" bestFit="1" customWidth="1"/>
    <col min="2" max="2" width="15.6328125" bestFit="1" customWidth="1"/>
    <col min="3" max="4" width="6.54296875" bestFit="1" customWidth="1"/>
    <col min="5" max="5" width="10.36328125" bestFit="1" customWidth="1"/>
    <col min="6" max="6" width="6.81640625" bestFit="1" customWidth="1"/>
    <col min="7" max="7" width="6.26953125" bestFit="1" customWidth="1"/>
    <col min="8" max="8" width="5.7265625" bestFit="1" customWidth="1"/>
    <col min="9" max="9" width="6.54296875" bestFit="1" customWidth="1"/>
    <col min="10" max="11" width="6.6328125" bestFit="1" customWidth="1"/>
    <col min="12" max="12" width="6.7265625" bestFit="1" customWidth="1"/>
    <col min="13" max="13" width="6.1796875" bestFit="1" customWidth="1"/>
    <col min="14" max="15" width="6.54296875" bestFit="1" customWidth="1"/>
    <col min="16" max="16" width="6.26953125" bestFit="1" customWidth="1"/>
    <col min="17" max="17" width="6.81640625" bestFit="1" customWidth="1"/>
    <col min="18" max="18" width="5.7265625" bestFit="1" customWidth="1"/>
    <col min="19" max="19" width="6.54296875" bestFit="1" customWidth="1"/>
    <col min="20" max="20" width="6.36328125" bestFit="1" customWidth="1"/>
    <col min="21" max="21" width="6.6328125" bestFit="1" customWidth="1"/>
    <col min="22" max="22" width="6.7265625" bestFit="1" customWidth="1"/>
    <col min="23" max="23" width="6.1796875" bestFit="1" customWidth="1"/>
    <col min="24" max="25" width="6.54296875" bestFit="1" customWidth="1"/>
    <col min="26" max="26" width="6.26953125" bestFit="1" customWidth="1"/>
    <col min="27" max="27" width="6.81640625" bestFit="1" customWidth="1"/>
    <col min="28" max="28" width="6.26953125" bestFit="1" customWidth="1"/>
    <col min="29" max="29" width="6.54296875" bestFit="1" customWidth="1"/>
    <col min="30" max="30" width="6.6328125" bestFit="1" customWidth="1"/>
    <col min="31" max="31" width="6.36328125" bestFit="1" customWidth="1"/>
    <col min="32" max="32" width="6.6328125" bestFit="1" customWidth="1"/>
    <col min="33" max="33" width="6.7265625" bestFit="1" customWidth="1"/>
    <col min="34" max="34" width="10.36328125" bestFit="1" customWidth="1"/>
  </cols>
  <sheetData>
    <row r="3" spans="1:5" x14ac:dyDescent="0.35">
      <c r="A3" s="3" t="s">
        <v>116</v>
      </c>
      <c r="B3" s="3" t="s">
        <v>112</v>
      </c>
    </row>
    <row r="4" spans="1:5" x14ac:dyDescent="0.35">
      <c r="B4" t="s">
        <v>113</v>
      </c>
      <c r="C4" t="s">
        <v>115</v>
      </c>
      <c r="D4" t="s">
        <v>114</v>
      </c>
      <c r="E4" t="s">
        <v>111</v>
      </c>
    </row>
    <row r="7" spans="1:5" x14ac:dyDescent="0.35">
      <c r="A7" s="3" t="s">
        <v>110</v>
      </c>
    </row>
    <row r="8" spans="1:5" x14ac:dyDescent="0.35">
      <c r="A8" s="4" t="s">
        <v>3</v>
      </c>
      <c r="B8" s="5">
        <v>2</v>
      </c>
      <c r="C8" s="5"/>
      <c r="D8" s="5"/>
      <c r="E8" s="5">
        <v>2</v>
      </c>
    </row>
    <row r="9" spans="1:5" x14ac:dyDescent="0.35">
      <c r="A9" s="4" t="s">
        <v>33</v>
      </c>
      <c r="B9" s="5">
        <v>4</v>
      </c>
      <c r="C9" s="5"/>
      <c r="D9" s="5">
        <v>3</v>
      </c>
      <c r="E9" s="5">
        <v>7</v>
      </c>
    </row>
    <row r="10" spans="1:5" x14ac:dyDescent="0.35">
      <c r="A10" s="4" t="s">
        <v>27</v>
      </c>
      <c r="B10" s="5">
        <v>5</v>
      </c>
      <c r="C10" s="5">
        <v>3</v>
      </c>
      <c r="D10" s="5">
        <v>2</v>
      </c>
      <c r="E10" s="5">
        <v>10</v>
      </c>
    </row>
    <row r="11" spans="1:5" x14ac:dyDescent="0.35">
      <c r="A11" s="4" t="s">
        <v>14</v>
      </c>
      <c r="B11" s="5">
        <v>4</v>
      </c>
      <c r="C11" s="5">
        <v>5</v>
      </c>
      <c r="D11" s="5"/>
      <c r="E11" s="5">
        <v>9</v>
      </c>
    </row>
    <row r="12" spans="1:5" x14ac:dyDescent="0.35">
      <c r="A12" s="4" t="s">
        <v>19</v>
      </c>
      <c r="B12" s="5">
        <v>1</v>
      </c>
      <c r="C12" s="5">
        <v>1</v>
      </c>
      <c r="D12" s="5">
        <v>5</v>
      </c>
      <c r="E12" s="5">
        <v>7</v>
      </c>
    </row>
    <row r="13" spans="1:5" x14ac:dyDescent="0.35">
      <c r="A13" s="4" t="s">
        <v>8</v>
      </c>
      <c r="B13" s="5">
        <v>2</v>
      </c>
      <c r="C13" s="5">
        <v>3</v>
      </c>
      <c r="D13" s="5">
        <v>5</v>
      </c>
      <c r="E13" s="5">
        <v>10</v>
      </c>
    </row>
    <row r="14" spans="1:5" x14ac:dyDescent="0.35">
      <c r="A14" s="4" t="s">
        <v>24</v>
      </c>
      <c r="B14" s="5">
        <v>3</v>
      </c>
      <c r="C14" s="5"/>
      <c r="D14" s="5">
        <v>3</v>
      </c>
      <c r="E14" s="5">
        <v>6</v>
      </c>
    </row>
    <row r="15" spans="1:5" x14ac:dyDescent="0.35">
      <c r="A15" s="4" t="s">
        <v>10</v>
      </c>
      <c r="B15" s="5">
        <v>2</v>
      </c>
      <c r="C15" s="5">
        <v>4</v>
      </c>
      <c r="D15" s="5">
        <v>3</v>
      </c>
      <c r="E15" s="5">
        <v>9</v>
      </c>
    </row>
    <row r="16" spans="1:5" x14ac:dyDescent="0.35">
      <c r="A16" s="4" t="s">
        <v>7</v>
      </c>
      <c r="B16" s="5">
        <v>5</v>
      </c>
      <c r="C16" s="5">
        <v>4</v>
      </c>
      <c r="D16" s="5">
        <v>5</v>
      </c>
      <c r="E16" s="5">
        <v>14</v>
      </c>
    </row>
    <row r="17" spans="1:5" x14ac:dyDescent="0.35">
      <c r="A17" s="4" t="s">
        <v>37</v>
      </c>
      <c r="B17" s="5">
        <v>2</v>
      </c>
      <c r="C17" s="5">
        <v>2</v>
      </c>
      <c r="D17" s="5">
        <v>6</v>
      </c>
      <c r="E17" s="5">
        <v>10</v>
      </c>
    </row>
    <row r="18" spans="1:5" x14ac:dyDescent="0.35">
      <c r="A18" s="4" t="s">
        <v>5</v>
      </c>
      <c r="B18" s="5"/>
      <c r="C18" s="5"/>
      <c r="D18" s="5">
        <v>2</v>
      </c>
      <c r="E18" s="5">
        <v>2</v>
      </c>
    </row>
    <row r="19" spans="1:5" x14ac:dyDescent="0.35">
      <c r="A19" s="4" t="s">
        <v>12</v>
      </c>
      <c r="B19" s="5">
        <v>3</v>
      </c>
      <c r="C19" s="5">
        <v>5</v>
      </c>
      <c r="D19" s="5">
        <v>3</v>
      </c>
      <c r="E19" s="5">
        <v>11</v>
      </c>
    </row>
    <row r="20" spans="1:5" x14ac:dyDescent="0.35">
      <c r="A20" s="4" t="s">
        <v>111</v>
      </c>
      <c r="B20" s="5">
        <v>33</v>
      </c>
      <c r="C20" s="5">
        <v>27</v>
      </c>
      <c r="D20" s="5">
        <v>37</v>
      </c>
      <c r="E20" s="5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4773-7956-4944-8E7D-6CCB1F83787F}">
  <dimension ref="A1:D104"/>
  <sheetViews>
    <sheetView tabSelected="1" workbookViewId="0">
      <selection activeCell="C6" sqref="C6"/>
    </sheetView>
  </sheetViews>
  <sheetFormatPr defaultRowHeight="14.5" x14ac:dyDescent="0.35"/>
  <cols>
    <col min="1" max="1" width="10.08984375" bestFit="1" customWidth="1"/>
    <col min="2" max="2" width="6.7265625" bestFit="1" customWidth="1"/>
    <col min="3" max="3" width="19.6328125" style="5" bestFit="1" customWidth="1"/>
  </cols>
  <sheetData>
    <row r="1" spans="1:4" x14ac:dyDescent="0.35">
      <c r="A1" t="s">
        <v>0</v>
      </c>
      <c r="B1" t="s">
        <v>1</v>
      </c>
      <c r="C1" s="5" t="s">
        <v>2</v>
      </c>
    </row>
    <row r="2" spans="1:4" x14ac:dyDescent="0.35">
      <c r="A2" t="s">
        <v>3</v>
      </c>
      <c r="B2" s="1">
        <v>44166</v>
      </c>
      <c r="C2" s="6" t="s">
        <v>4</v>
      </c>
      <c r="D2" s="2">
        <f>MIN(C2:C104)</f>
        <v>0</v>
      </c>
    </row>
    <row r="3" spans="1:4" x14ac:dyDescent="0.35">
      <c r="A3" t="s">
        <v>5</v>
      </c>
      <c r="B3" s="1">
        <v>44835</v>
      </c>
      <c r="C3" s="6" t="s">
        <v>6</v>
      </c>
    </row>
    <row r="4" spans="1:4" x14ac:dyDescent="0.35">
      <c r="A4" t="s">
        <v>7</v>
      </c>
      <c r="B4" s="1">
        <v>44805</v>
      </c>
      <c r="C4" s="6"/>
    </row>
    <row r="5" spans="1:4" x14ac:dyDescent="0.35">
      <c r="A5" t="s">
        <v>8</v>
      </c>
      <c r="B5" s="1">
        <v>44501</v>
      </c>
      <c r="C5" s="6" t="s">
        <v>9</v>
      </c>
    </row>
    <row r="6" spans="1:4" x14ac:dyDescent="0.35">
      <c r="A6" t="s">
        <v>10</v>
      </c>
      <c r="B6" s="1">
        <v>44531</v>
      </c>
      <c r="C6" s="6" t="s">
        <v>11</v>
      </c>
    </row>
    <row r="7" spans="1:4" x14ac:dyDescent="0.35">
      <c r="A7" t="s">
        <v>12</v>
      </c>
      <c r="B7" s="1">
        <v>44866</v>
      </c>
      <c r="C7" s="6" t="s">
        <v>13</v>
      </c>
    </row>
    <row r="8" spans="1:4" x14ac:dyDescent="0.35">
      <c r="A8" t="s">
        <v>14</v>
      </c>
      <c r="B8" s="1">
        <v>44470</v>
      </c>
      <c r="C8" s="6" t="s">
        <v>15</v>
      </c>
    </row>
    <row r="9" spans="1:4" x14ac:dyDescent="0.35">
      <c r="A9" t="s">
        <v>10</v>
      </c>
      <c r="B9" s="1">
        <v>44621</v>
      </c>
      <c r="C9" s="6" t="s">
        <v>16</v>
      </c>
    </row>
    <row r="10" spans="1:4" x14ac:dyDescent="0.35">
      <c r="A10" t="s">
        <v>7</v>
      </c>
      <c r="B10" s="1">
        <v>44866</v>
      </c>
      <c r="C10" s="6" t="s">
        <v>17</v>
      </c>
    </row>
    <row r="11" spans="1:4" x14ac:dyDescent="0.35">
      <c r="A11" t="s">
        <v>8</v>
      </c>
      <c r="B11" s="1">
        <v>43831</v>
      </c>
      <c r="C11" s="6" t="s">
        <v>18</v>
      </c>
    </row>
    <row r="12" spans="1:4" x14ac:dyDescent="0.35">
      <c r="A12" t="s">
        <v>19</v>
      </c>
      <c r="B12" s="1">
        <v>44866</v>
      </c>
      <c r="C12" s="6" t="s">
        <v>20</v>
      </c>
    </row>
    <row r="13" spans="1:4" x14ac:dyDescent="0.35">
      <c r="A13" t="s">
        <v>7</v>
      </c>
      <c r="B13" s="1">
        <v>44228</v>
      </c>
      <c r="C13" s="6" t="s">
        <v>21</v>
      </c>
    </row>
    <row r="14" spans="1:4" x14ac:dyDescent="0.35">
      <c r="A14" t="s">
        <v>7</v>
      </c>
      <c r="B14" s="1">
        <v>43891</v>
      </c>
      <c r="C14" s="6" t="s">
        <v>22</v>
      </c>
    </row>
    <row r="15" spans="1:4" x14ac:dyDescent="0.35">
      <c r="A15" t="s">
        <v>14</v>
      </c>
      <c r="B15" s="1">
        <v>43831</v>
      </c>
      <c r="C15" s="6" t="s">
        <v>23</v>
      </c>
    </row>
    <row r="16" spans="1:4" x14ac:dyDescent="0.35">
      <c r="A16" t="s">
        <v>24</v>
      </c>
      <c r="B16" s="1">
        <v>43952</v>
      </c>
      <c r="C16" s="6" t="s">
        <v>25</v>
      </c>
    </row>
    <row r="17" spans="1:3" x14ac:dyDescent="0.35">
      <c r="A17" t="s">
        <v>8</v>
      </c>
      <c r="B17" s="1">
        <v>44593</v>
      </c>
      <c r="C17" s="6" t="s">
        <v>26</v>
      </c>
    </row>
    <row r="18" spans="1:3" x14ac:dyDescent="0.35">
      <c r="A18" t="s">
        <v>27</v>
      </c>
      <c r="B18" s="1">
        <v>44228</v>
      </c>
      <c r="C18" s="6" t="s">
        <v>28</v>
      </c>
    </row>
    <row r="19" spans="1:3" x14ac:dyDescent="0.35">
      <c r="A19" t="s">
        <v>7</v>
      </c>
      <c r="B19" s="1">
        <v>44621</v>
      </c>
      <c r="C19" s="6" t="s">
        <v>29</v>
      </c>
    </row>
    <row r="20" spans="1:3" x14ac:dyDescent="0.35">
      <c r="A20" t="s">
        <v>24</v>
      </c>
      <c r="B20" s="1">
        <v>44075</v>
      </c>
      <c r="C20" s="6" t="s">
        <v>30</v>
      </c>
    </row>
    <row r="21" spans="1:3" x14ac:dyDescent="0.35">
      <c r="A21" t="s">
        <v>27</v>
      </c>
      <c r="B21" s="1">
        <v>44256</v>
      </c>
      <c r="C21" s="6" t="s">
        <v>31</v>
      </c>
    </row>
    <row r="22" spans="1:3" x14ac:dyDescent="0.35">
      <c r="A22" t="s">
        <v>8</v>
      </c>
      <c r="B22" s="1">
        <v>44256</v>
      </c>
      <c r="C22" s="6" t="s">
        <v>32</v>
      </c>
    </row>
    <row r="23" spans="1:3" x14ac:dyDescent="0.35">
      <c r="A23" t="s">
        <v>33</v>
      </c>
      <c r="B23" s="1">
        <v>44593</v>
      </c>
      <c r="C23" s="6" t="s">
        <v>34</v>
      </c>
    </row>
    <row r="24" spans="1:3" x14ac:dyDescent="0.35">
      <c r="A24" t="s">
        <v>12</v>
      </c>
      <c r="B24" s="1">
        <v>44197</v>
      </c>
      <c r="C24" s="6" t="s">
        <v>35</v>
      </c>
    </row>
    <row r="25" spans="1:3" x14ac:dyDescent="0.35">
      <c r="A25" t="s">
        <v>24</v>
      </c>
      <c r="B25" s="1">
        <v>44774</v>
      </c>
      <c r="C25" s="6" t="s">
        <v>36</v>
      </c>
    </row>
    <row r="26" spans="1:3" x14ac:dyDescent="0.35">
      <c r="A26" t="s">
        <v>37</v>
      </c>
      <c r="B26" s="1">
        <v>44774</v>
      </c>
      <c r="C26" s="6" t="s">
        <v>38</v>
      </c>
    </row>
    <row r="27" spans="1:3" x14ac:dyDescent="0.35">
      <c r="A27" t="s">
        <v>33</v>
      </c>
      <c r="B27" s="1">
        <v>43922</v>
      </c>
      <c r="C27" s="6" t="s">
        <v>39</v>
      </c>
    </row>
    <row r="28" spans="1:3" x14ac:dyDescent="0.35">
      <c r="A28" t="s">
        <v>12</v>
      </c>
      <c r="B28" s="1">
        <v>44713</v>
      </c>
      <c r="C28" s="6" t="s">
        <v>40</v>
      </c>
    </row>
    <row r="29" spans="1:3" x14ac:dyDescent="0.35">
      <c r="A29" t="s">
        <v>14</v>
      </c>
      <c r="B29" s="1">
        <v>44501</v>
      </c>
      <c r="C29" s="6" t="s">
        <v>41</v>
      </c>
    </row>
    <row r="30" spans="1:3" x14ac:dyDescent="0.35">
      <c r="A30" t="s">
        <v>10</v>
      </c>
      <c r="B30" s="1">
        <v>44256</v>
      </c>
      <c r="C30" s="6"/>
    </row>
    <row r="31" spans="1:3" x14ac:dyDescent="0.35">
      <c r="A31" t="s">
        <v>19</v>
      </c>
      <c r="B31" s="1">
        <v>44682</v>
      </c>
      <c r="C31" s="6" t="s">
        <v>42</v>
      </c>
    </row>
    <row r="32" spans="1:3" x14ac:dyDescent="0.35">
      <c r="A32" t="s">
        <v>37</v>
      </c>
      <c r="B32" s="1">
        <v>44896</v>
      </c>
      <c r="C32" s="6" t="s">
        <v>43</v>
      </c>
    </row>
    <row r="33" spans="1:3" x14ac:dyDescent="0.35">
      <c r="A33" t="s">
        <v>14</v>
      </c>
      <c r="B33" s="1">
        <v>44197</v>
      </c>
      <c r="C33" s="6" t="s">
        <v>44</v>
      </c>
    </row>
    <row r="34" spans="1:3" x14ac:dyDescent="0.35">
      <c r="A34" t="s">
        <v>8</v>
      </c>
      <c r="B34" s="1">
        <v>44774</v>
      </c>
      <c r="C34" s="6" t="s">
        <v>45</v>
      </c>
    </row>
    <row r="35" spans="1:3" x14ac:dyDescent="0.35">
      <c r="A35" t="s">
        <v>14</v>
      </c>
      <c r="B35" s="1">
        <v>44013</v>
      </c>
      <c r="C35" s="6" t="s">
        <v>46</v>
      </c>
    </row>
    <row r="36" spans="1:3" x14ac:dyDescent="0.35">
      <c r="A36" t="s">
        <v>10</v>
      </c>
      <c r="B36" s="1">
        <v>44470</v>
      </c>
      <c r="C36" s="6" t="s">
        <v>47</v>
      </c>
    </row>
    <row r="37" spans="1:3" x14ac:dyDescent="0.35">
      <c r="A37" t="s">
        <v>8</v>
      </c>
      <c r="B37" s="1">
        <v>44652</v>
      </c>
      <c r="C37" s="6" t="s">
        <v>48</v>
      </c>
    </row>
    <row r="38" spans="1:3" x14ac:dyDescent="0.35">
      <c r="A38" t="s">
        <v>37</v>
      </c>
      <c r="B38" s="1">
        <v>43862</v>
      </c>
      <c r="C38" s="6" t="s">
        <v>49</v>
      </c>
    </row>
    <row r="39" spans="1:3" x14ac:dyDescent="0.35">
      <c r="A39" t="s">
        <v>10</v>
      </c>
      <c r="B39" s="1">
        <v>43983</v>
      </c>
      <c r="C39" s="6" t="s">
        <v>50</v>
      </c>
    </row>
    <row r="40" spans="1:3" x14ac:dyDescent="0.35">
      <c r="A40" t="s">
        <v>27</v>
      </c>
      <c r="B40" s="1">
        <v>44652</v>
      </c>
      <c r="C40" s="6" t="s">
        <v>51</v>
      </c>
    </row>
    <row r="41" spans="1:3" x14ac:dyDescent="0.35">
      <c r="A41" t="s">
        <v>19</v>
      </c>
      <c r="B41" s="1">
        <v>44652</v>
      </c>
      <c r="C41" s="6"/>
    </row>
    <row r="42" spans="1:3" x14ac:dyDescent="0.35">
      <c r="A42" t="s">
        <v>37</v>
      </c>
      <c r="B42" s="1">
        <v>44409</v>
      </c>
      <c r="C42" s="6"/>
    </row>
    <row r="43" spans="1:3" x14ac:dyDescent="0.35">
      <c r="A43" t="s">
        <v>27</v>
      </c>
      <c r="B43" s="1">
        <v>44713</v>
      </c>
      <c r="C43" s="6" t="s">
        <v>52</v>
      </c>
    </row>
    <row r="44" spans="1:3" x14ac:dyDescent="0.35">
      <c r="A44" t="s">
        <v>12</v>
      </c>
      <c r="B44" s="1">
        <v>44136</v>
      </c>
      <c r="C44" s="6" t="s">
        <v>53</v>
      </c>
    </row>
    <row r="45" spans="1:3" x14ac:dyDescent="0.35">
      <c r="A45" t="s">
        <v>37</v>
      </c>
      <c r="B45" s="1">
        <v>44652</v>
      </c>
      <c r="C45" s="6" t="s">
        <v>54</v>
      </c>
    </row>
    <row r="46" spans="1:3" x14ac:dyDescent="0.35">
      <c r="A46" t="s">
        <v>12</v>
      </c>
      <c r="B46" s="1">
        <v>44562</v>
      </c>
      <c r="C46" s="6" t="s">
        <v>55</v>
      </c>
    </row>
    <row r="47" spans="1:3" x14ac:dyDescent="0.35">
      <c r="A47" t="s">
        <v>8</v>
      </c>
      <c r="B47" s="1">
        <v>44805</v>
      </c>
      <c r="C47" s="6" t="s">
        <v>56</v>
      </c>
    </row>
    <row r="48" spans="1:3" x14ac:dyDescent="0.35">
      <c r="A48" t="s">
        <v>27</v>
      </c>
      <c r="B48" s="1">
        <v>43831</v>
      </c>
      <c r="C48" s="6" t="s">
        <v>57</v>
      </c>
    </row>
    <row r="49" spans="1:3" x14ac:dyDescent="0.35">
      <c r="A49" t="s">
        <v>19</v>
      </c>
      <c r="B49" s="1">
        <v>44621</v>
      </c>
      <c r="C49" s="6" t="s">
        <v>58</v>
      </c>
    </row>
    <row r="50" spans="1:3" x14ac:dyDescent="0.35">
      <c r="A50" t="s">
        <v>10</v>
      </c>
      <c r="B50" s="1">
        <v>44197</v>
      </c>
      <c r="C50" s="6" t="s">
        <v>59</v>
      </c>
    </row>
    <row r="51" spans="1:3" x14ac:dyDescent="0.35">
      <c r="A51" t="s">
        <v>7</v>
      </c>
      <c r="B51" s="1">
        <v>43891</v>
      </c>
      <c r="C51" s="6" t="s">
        <v>60</v>
      </c>
    </row>
    <row r="52" spans="1:3" x14ac:dyDescent="0.35">
      <c r="A52" t="s">
        <v>14</v>
      </c>
      <c r="B52" s="1">
        <v>43983</v>
      </c>
      <c r="C52" s="6" t="s">
        <v>61</v>
      </c>
    </row>
    <row r="53" spans="1:3" x14ac:dyDescent="0.35">
      <c r="A53" t="s">
        <v>33</v>
      </c>
      <c r="B53" s="1">
        <v>44044</v>
      </c>
      <c r="C53" s="6" t="s">
        <v>62</v>
      </c>
    </row>
    <row r="54" spans="1:3" x14ac:dyDescent="0.35">
      <c r="A54" t="s">
        <v>19</v>
      </c>
      <c r="B54" s="1">
        <v>44621</v>
      </c>
      <c r="C54" s="6" t="s">
        <v>63</v>
      </c>
    </row>
    <row r="55" spans="1:3" x14ac:dyDescent="0.35">
      <c r="A55" t="s">
        <v>27</v>
      </c>
      <c r="B55" s="1">
        <v>44075</v>
      </c>
      <c r="C55" s="6" t="s">
        <v>64</v>
      </c>
    </row>
    <row r="56" spans="1:3" x14ac:dyDescent="0.35">
      <c r="A56" t="s">
        <v>7</v>
      </c>
      <c r="B56" s="1">
        <v>44805</v>
      </c>
      <c r="C56" s="6" t="s">
        <v>65</v>
      </c>
    </row>
    <row r="57" spans="1:3" x14ac:dyDescent="0.35">
      <c r="A57" t="s">
        <v>19</v>
      </c>
      <c r="B57" s="1">
        <v>44531</v>
      </c>
      <c r="C57" s="6" t="s">
        <v>66</v>
      </c>
    </row>
    <row r="58" spans="1:3" x14ac:dyDescent="0.35">
      <c r="A58" t="s">
        <v>27</v>
      </c>
      <c r="B58" s="1">
        <v>44256</v>
      </c>
      <c r="C58" s="6" t="s">
        <v>67</v>
      </c>
    </row>
    <row r="59" spans="1:3" x14ac:dyDescent="0.35">
      <c r="A59" t="s">
        <v>24</v>
      </c>
      <c r="B59" s="1">
        <v>44774</v>
      </c>
      <c r="C59" s="6" t="s">
        <v>68</v>
      </c>
    </row>
    <row r="60" spans="1:3" x14ac:dyDescent="0.35">
      <c r="A60" t="s">
        <v>24</v>
      </c>
      <c r="B60" s="1">
        <v>44774</v>
      </c>
      <c r="C60" s="6" t="s">
        <v>69</v>
      </c>
    </row>
    <row r="61" spans="1:3" x14ac:dyDescent="0.35">
      <c r="A61" t="s">
        <v>12</v>
      </c>
      <c r="B61" s="1">
        <v>44531</v>
      </c>
      <c r="C61" s="6" t="s">
        <v>70</v>
      </c>
    </row>
    <row r="62" spans="1:3" x14ac:dyDescent="0.35">
      <c r="A62" t="s">
        <v>19</v>
      </c>
      <c r="B62" s="1">
        <v>44166</v>
      </c>
      <c r="C62" s="6" t="s">
        <v>71</v>
      </c>
    </row>
    <row r="63" spans="1:3" x14ac:dyDescent="0.35">
      <c r="A63" t="s">
        <v>24</v>
      </c>
      <c r="B63" s="1">
        <v>43862</v>
      </c>
      <c r="C63" s="6" t="s">
        <v>72</v>
      </c>
    </row>
    <row r="64" spans="1:3" x14ac:dyDescent="0.35">
      <c r="A64" t="s">
        <v>27</v>
      </c>
      <c r="B64" s="1">
        <v>43891</v>
      </c>
      <c r="C64" s="6" t="s">
        <v>73</v>
      </c>
    </row>
    <row r="65" spans="1:3" x14ac:dyDescent="0.35">
      <c r="A65" t="s">
        <v>12</v>
      </c>
      <c r="B65" s="1">
        <v>44317</v>
      </c>
      <c r="C65" s="6" t="s">
        <v>74</v>
      </c>
    </row>
    <row r="66" spans="1:3" x14ac:dyDescent="0.35">
      <c r="A66" t="s">
        <v>27</v>
      </c>
      <c r="B66" s="1">
        <v>43862</v>
      </c>
      <c r="C66" s="6" t="s">
        <v>75</v>
      </c>
    </row>
    <row r="67" spans="1:3" x14ac:dyDescent="0.35">
      <c r="A67" t="s">
        <v>12</v>
      </c>
      <c r="B67" s="1">
        <v>43862</v>
      </c>
      <c r="C67" s="6" t="s">
        <v>76</v>
      </c>
    </row>
    <row r="68" spans="1:3" x14ac:dyDescent="0.35">
      <c r="A68" t="s">
        <v>19</v>
      </c>
      <c r="B68" s="1">
        <v>44652</v>
      </c>
      <c r="C68" s="6" t="s">
        <v>77</v>
      </c>
    </row>
    <row r="69" spans="1:3" x14ac:dyDescent="0.35">
      <c r="A69" t="s">
        <v>7</v>
      </c>
      <c r="B69" s="1">
        <v>44501</v>
      </c>
      <c r="C69" s="6" t="s">
        <v>78</v>
      </c>
    </row>
    <row r="70" spans="1:3" x14ac:dyDescent="0.35">
      <c r="A70" t="s">
        <v>10</v>
      </c>
      <c r="B70" s="1">
        <v>44774</v>
      </c>
      <c r="C70" s="6" t="s">
        <v>79</v>
      </c>
    </row>
    <row r="71" spans="1:3" x14ac:dyDescent="0.35">
      <c r="A71" t="s">
        <v>37</v>
      </c>
      <c r="B71" s="1">
        <v>44805</v>
      </c>
      <c r="C71" s="6" t="s">
        <v>80</v>
      </c>
    </row>
    <row r="72" spans="1:3" x14ac:dyDescent="0.35">
      <c r="A72" t="s">
        <v>7</v>
      </c>
      <c r="B72" s="1">
        <v>43831</v>
      </c>
      <c r="C72" s="6" t="s">
        <v>81</v>
      </c>
    </row>
    <row r="73" spans="1:3" x14ac:dyDescent="0.35">
      <c r="A73" t="s">
        <v>8</v>
      </c>
      <c r="B73" s="1">
        <v>44378</v>
      </c>
      <c r="C73" s="6" t="s">
        <v>82</v>
      </c>
    </row>
    <row r="74" spans="1:3" x14ac:dyDescent="0.35">
      <c r="A74" t="s">
        <v>27</v>
      </c>
      <c r="B74" s="1">
        <v>43862</v>
      </c>
      <c r="C74" s="6" t="s">
        <v>83</v>
      </c>
    </row>
    <row r="75" spans="1:3" x14ac:dyDescent="0.35">
      <c r="A75" t="s">
        <v>8</v>
      </c>
      <c r="B75" s="1">
        <v>44593</v>
      </c>
      <c r="C75" s="6" t="s">
        <v>84</v>
      </c>
    </row>
    <row r="76" spans="1:3" x14ac:dyDescent="0.35">
      <c r="A76" t="s">
        <v>7</v>
      </c>
      <c r="B76" s="1">
        <v>44774</v>
      </c>
      <c r="C76" s="6" t="s">
        <v>85</v>
      </c>
    </row>
    <row r="77" spans="1:3" x14ac:dyDescent="0.35">
      <c r="A77" t="s">
        <v>12</v>
      </c>
      <c r="B77" s="1">
        <v>43983</v>
      </c>
      <c r="C77" s="6" t="s">
        <v>86</v>
      </c>
    </row>
    <row r="78" spans="1:3" x14ac:dyDescent="0.35">
      <c r="A78" t="s">
        <v>37</v>
      </c>
      <c r="B78" s="1">
        <v>44774</v>
      </c>
      <c r="C78" s="6" t="s">
        <v>87</v>
      </c>
    </row>
    <row r="79" spans="1:3" x14ac:dyDescent="0.35">
      <c r="A79" t="s">
        <v>37</v>
      </c>
      <c r="B79" s="1">
        <v>43922</v>
      </c>
      <c r="C79" s="6" t="s">
        <v>88</v>
      </c>
    </row>
    <row r="80" spans="1:3" x14ac:dyDescent="0.35">
      <c r="A80" t="s">
        <v>33</v>
      </c>
      <c r="B80" s="1">
        <v>44136</v>
      </c>
      <c r="C80" s="6" t="s">
        <v>89</v>
      </c>
    </row>
    <row r="81" spans="1:3" x14ac:dyDescent="0.35">
      <c r="A81" t="s">
        <v>37</v>
      </c>
      <c r="B81" s="1">
        <v>44317</v>
      </c>
      <c r="C81" s="6" t="s">
        <v>90</v>
      </c>
    </row>
    <row r="82" spans="1:3" x14ac:dyDescent="0.35">
      <c r="A82" t="s">
        <v>10</v>
      </c>
      <c r="B82" s="1">
        <v>44531</v>
      </c>
      <c r="C82" s="6" t="s">
        <v>91</v>
      </c>
    </row>
    <row r="83" spans="1:3" x14ac:dyDescent="0.35">
      <c r="A83" t="s">
        <v>37</v>
      </c>
      <c r="B83" s="1">
        <v>43952</v>
      </c>
      <c r="C83" s="6"/>
    </row>
    <row r="84" spans="1:3" x14ac:dyDescent="0.35">
      <c r="A84" t="s">
        <v>7</v>
      </c>
      <c r="B84" s="1">
        <v>44835</v>
      </c>
      <c r="C84" s="6" t="s">
        <v>92</v>
      </c>
    </row>
    <row r="85" spans="1:3" x14ac:dyDescent="0.35">
      <c r="A85" t="s">
        <v>33</v>
      </c>
      <c r="B85" s="1">
        <v>43983</v>
      </c>
      <c r="C85" s="6" t="s">
        <v>93</v>
      </c>
    </row>
    <row r="86" spans="1:3" x14ac:dyDescent="0.35">
      <c r="A86" t="s">
        <v>7</v>
      </c>
      <c r="B86" s="1">
        <v>44470</v>
      </c>
      <c r="C86" s="6" t="s">
        <v>94</v>
      </c>
    </row>
    <row r="87" spans="1:3" x14ac:dyDescent="0.35">
      <c r="A87" t="s">
        <v>7</v>
      </c>
      <c r="B87" s="1">
        <v>44136</v>
      </c>
      <c r="C87" s="6" t="s">
        <v>95</v>
      </c>
    </row>
    <row r="88" spans="1:3" x14ac:dyDescent="0.35">
      <c r="A88" t="s">
        <v>14</v>
      </c>
      <c r="B88" s="1">
        <v>44287</v>
      </c>
      <c r="C88" s="6" t="s">
        <v>96</v>
      </c>
    </row>
    <row r="89" spans="1:3" x14ac:dyDescent="0.35">
      <c r="A89" t="s">
        <v>33</v>
      </c>
      <c r="B89" s="1">
        <v>44805</v>
      </c>
      <c r="C89" s="6" t="s">
        <v>97</v>
      </c>
    </row>
    <row r="90" spans="1:3" x14ac:dyDescent="0.35">
      <c r="A90" t="s">
        <v>7</v>
      </c>
      <c r="B90" s="1">
        <v>44075</v>
      </c>
      <c r="C90" s="6" t="s">
        <v>98</v>
      </c>
    </row>
    <row r="91" spans="1:3" x14ac:dyDescent="0.35">
      <c r="A91" t="s">
        <v>14</v>
      </c>
      <c r="B91" s="1">
        <v>43983</v>
      </c>
      <c r="C91" s="6" t="s">
        <v>99</v>
      </c>
    </row>
    <row r="92" spans="1:3" x14ac:dyDescent="0.35">
      <c r="A92" t="s">
        <v>14</v>
      </c>
      <c r="B92" s="1">
        <v>44287</v>
      </c>
      <c r="C92" s="6" t="s">
        <v>100</v>
      </c>
    </row>
    <row r="93" spans="1:3" x14ac:dyDescent="0.35">
      <c r="A93" t="s">
        <v>33</v>
      </c>
      <c r="B93" s="1">
        <v>44682</v>
      </c>
      <c r="C93" s="6" t="s">
        <v>101</v>
      </c>
    </row>
    <row r="94" spans="1:3" x14ac:dyDescent="0.35">
      <c r="A94" t="s">
        <v>8</v>
      </c>
      <c r="B94" s="1">
        <v>43891</v>
      </c>
      <c r="C94" s="6" t="s">
        <v>102</v>
      </c>
    </row>
    <row r="95" spans="1:3" x14ac:dyDescent="0.35">
      <c r="A95" t="s">
        <v>12</v>
      </c>
      <c r="B95" s="1">
        <v>44409</v>
      </c>
      <c r="C95" s="6" t="s">
        <v>103</v>
      </c>
    </row>
    <row r="96" spans="1:3" x14ac:dyDescent="0.35">
      <c r="A96" t="s">
        <v>10</v>
      </c>
      <c r="B96" s="1">
        <v>44896</v>
      </c>
      <c r="C96" s="6" t="s">
        <v>104</v>
      </c>
    </row>
    <row r="97" spans="1:3" x14ac:dyDescent="0.35">
      <c r="A97" t="s">
        <v>12</v>
      </c>
      <c r="B97" s="1">
        <v>44378</v>
      </c>
      <c r="C97" s="6" t="s">
        <v>105</v>
      </c>
    </row>
    <row r="98" spans="1:3" x14ac:dyDescent="0.35">
      <c r="A98" t="s">
        <v>37</v>
      </c>
      <c r="B98" s="1">
        <v>44593</v>
      </c>
      <c r="C98" s="6" t="s">
        <v>106</v>
      </c>
    </row>
    <row r="99" spans="1:3" x14ac:dyDescent="0.35">
      <c r="A99" t="s">
        <v>10</v>
      </c>
      <c r="B99" s="1">
        <v>43891</v>
      </c>
      <c r="C99" s="6" t="s">
        <v>107</v>
      </c>
    </row>
    <row r="100" spans="1:3" x14ac:dyDescent="0.35">
      <c r="A100" t="s">
        <v>37</v>
      </c>
      <c r="B100" s="1">
        <v>44378</v>
      </c>
      <c r="C100" s="6" t="s">
        <v>108</v>
      </c>
    </row>
    <row r="101" spans="1:3" x14ac:dyDescent="0.35">
      <c r="A101" t="s">
        <v>7</v>
      </c>
      <c r="B101" s="1">
        <v>44409</v>
      </c>
      <c r="C101" s="6" t="s">
        <v>109</v>
      </c>
    </row>
    <row r="102" spans="1:3" x14ac:dyDescent="0.35">
      <c r="A102" t="s">
        <v>3</v>
      </c>
      <c r="B102" s="1">
        <v>44166</v>
      </c>
      <c r="C102" s="6" t="s">
        <v>4</v>
      </c>
    </row>
    <row r="103" spans="1:3" x14ac:dyDescent="0.35">
      <c r="A103" t="s">
        <v>5</v>
      </c>
      <c r="B103" s="1">
        <v>44835</v>
      </c>
      <c r="C103" s="6" t="s">
        <v>6</v>
      </c>
    </row>
    <row r="104" spans="1:3" x14ac:dyDescent="0.35">
      <c r="A104" t="s">
        <v>7</v>
      </c>
      <c r="B104" s="1">
        <v>44805</v>
      </c>
      <c r="C10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Water_Consumption_CPT_2020_2022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Tyolo, Asiphe A</dc:creator>
  <cp:lastModifiedBy>Tyolo, Asiphe A</cp:lastModifiedBy>
  <dcterms:created xsi:type="dcterms:W3CDTF">2026-01-06T06:35:37Z</dcterms:created>
  <dcterms:modified xsi:type="dcterms:W3CDTF">2026-01-06T06:35:37Z</dcterms:modified>
</cp:coreProperties>
</file>